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sfu-my.sharepoint.com/personal/ewl11_sfu_ca/Documents/"/>
    </mc:Choice>
  </mc:AlternateContent>
  <xr:revisionPtr revIDLastSave="20" documentId="8_{BD91BA5B-8E94-4739-8D2F-A831A7D7DF87}" xr6:coauthVersionLast="47" xr6:coauthVersionMax="47" xr10:uidLastSave="{CC3F473C-D0B5-482E-9C79-2EA53EC1402E}"/>
  <bookViews>
    <workbookView xWindow="19095" yWindow="0" windowWidth="19410" windowHeight="20985" xr2:uid="{D800E57D-83AD-4F5A-9F2B-567569CB1367}"/>
  </bookViews>
  <sheets>
    <sheet name="Sheet1" sheetId="1" r:id="rId1"/>
  </sheets>
  <definedNames>
    <definedName name="solver_adj" localSheetId="0" hidden="1">Sheet1!$B$2:$D$2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Sheet1!$E$10</definedName>
    <definedName name="solver_lhs2" localSheetId="0" hidden="1">Sheet1!$E$11</definedName>
    <definedName name="solver_lhs3" localSheetId="0" hidden="1">Sheet1!$E$8</definedName>
    <definedName name="solver_lhs4" localSheetId="0" hidden="1">Sheet1!$E$9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Sheet1!$E$5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Sheet1!$G$10</definedName>
    <definedName name="solver_rhs2" localSheetId="0" hidden="1">Sheet1!$G$11</definedName>
    <definedName name="solver_rhs3" localSheetId="0" hidden="1">Sheet1!$G$8</definedName>
    <definedName name="solver_rhs4" localSheetId="0" hidden="1">Sheet1!$G$9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9" i="1"/>
  <c r="O12" i="1"/>
  <c r="O13" i="1"/>
  <c r="O14" i="1"/>
  <c r="O15" i="1"/>
  <c r="E2" i="1"/>
  <c r="E5" i="1"/>
  <c r="E8" i="1"/>
  <c r="E9" i="1"/>
  <c r="E10" i="1"/>
  <c r="E11" i="1"/>
</calcChain>
</file>

<file path=xl/sharedStrings.xml><?xml version="1.0" encoding="utf-8"?>
<sst xmlns="http://schemas.openxmlformats.org/spreadsheetml/2006/main" count="38" uniqueCount="18">
  <si>
    <t>Laptop (DL)</t>
  </si>
  <si>
    <t>Tablet (DT)</t>
  </si>
  <si>
    <t>Smartphone (DS)</t>
  </si>
  <si>
    <t>Total</t>
  </si>
  <si>
    <t>Constraints</t>
  </si>
  <si>
    <t>Decision Variables (Days)</t>
  </si>
  <si>
    <t>Objective: Profit/Day</t>
  </si>
  <si>
    <t>Total Profit (Z)</t>
  </si>
  <si>
    <t>(Set Objective)</t>
  </si>
  <si>
    <t>LHS</t>
  </si>
  <si>
    <t>RHS</t>
  </si>
  <si>
    <t>Time Used (days)</t>
  </si>
  <si>
    <t>&lt;=</t>
  </si>
  <si>
    <t>Storage Used (ft³)</t>
  </si>
  <si>
    <t>Laptop Min. (days)</t>
  </si>
  <si>
    <t>&gt;=</t>
  </si>
  <si>
    <t>Tablet Min. (days)</t>
  </si>
  <si>
    <t>Set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</si>
</sst>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E7F-CBC3-4B41-B7BE-57659AA62682}">
  <dimension ref="A1:P15"/>
  <sheetViews>
    <sheetView tabSelected="1" workbookViewId="0">
      <selection activeCell="K3" sqref="K3"/>
    </sheetView>
  </sheetViews>
  <sheetFormatPr defaultRowHeight="15" x14ac:dyDescent="0.25"/>
  <cols>
    <col min="1" max="1" width="24.140625" bestFit="1" customWidth="1"/>
    <col min="2" max="3" width="8.5703125" bestFit="1" customWidth="1"/>
    <col min="4" max="4" width="11.42578125" bestFit="1" customWidth="1"/>
    <col min="5" max="5" width="10.5703125" bestFit="1" customWidth="1"/>
    <col min="6" max="6" width="16" bestFit="1" customWidth="1"/>
    <col min="7" max="7" width="5.42578125" bestFit="1" customWidth="1"/>
    <col min="8" max="8" width="11.140625" bestFit="1" customWidth="1"/>
    <col min="11" max="11" width="24.140625" bestFit="1" customWidth="1"/>
    <col min="12" max="12" width="11" bestFit="1" customWidth="1"/>
    <col min="13" max="13" width="10.5703125" bestFit="1" customWidth="1"/>
    <col min="14" max="14" width="16" bestFit="1" customWidth="1"/>
    <col min="15" max="15" width="7" bestFit="1" customWidth="1"/>
    <col min="16" max="16" width="12.140625" bestFit="1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6" x14ac:dyDescent="0.25">
      <c r="A2" t="s">
        <v>5</v>
      </c>
      <c r="B2" s="1">
        <v>0</v>
      </c>
      <c r="C2" s="1">
        <v>0</v>
      </c>
      <c r="D2" s="1">
        <v>5</v>
      </c>
      <c r="E2">
        <f>SUM(B2:D2)</f>
        <v>5</v>
      </c>
    </row>
    <row r="4" spans="1:16" x14ac:dyDescent="0.25">
      <c r="A4" t="s">
        <v>6</v>
      </c>
      <c r="B4">
        <v>40000</v>
      </c>
      <c r="C4">
        <v>40000</v>
      </c>
      <c r="D4">
        <v>70000</v>
      </c>
    </row>
    <row r="5" spans="1:16" x14ac:dyDescent="0.25">
      <c r="A5" t="s">
        <v>7</v>
      </c>
      <c r="E5">
        <f>SUMPRODUCT(B2:D2,B4:D4)</f>
        <v>350000</v>
      </c>
      <c r="F5" t="s">
        <v>8</v>
      </c>
      <c r="L5" t="s">
        <v>0</v>
      </c>
      <c r="M5" t="s">
        <v>1</v>
      </c>
      <c r="N5" t="s">
        <v>2</v>
      </c>
      <c r="O5" t="s">
        <v>3</v>
      </c>
    </row>
    <row r="6" spans="1:16" x14ac:dyDescent="0.25">
      <c r="K6" t="s">
        <v>5</v>
      </c>
      <c r="L6">
        <v>0.75</v>
      </c>
      <c r="M6">
        <v>0.8</v>
      </c>
      <c r="N6">
        <v>3.45</v>
      </c>
      <c r="O6" s="1">
        <f>SUM(B2:D2)</f>
        <v>5</v>
      </c>
    </row>
    <row r="7" spans="1:16" x14ac:dyDescent="0.25">
      <c r="A7" t="s">
        <v>4</v>
      </c>
      <c r="D7" t="s">
        <v>9</v>
      </c>
      <c r="E7" t="s">
        <v>10</v>
      </c>
    </row>
    <row r="8" spans="1:16" x14ac:dyDescent="0.25">
      <c r="A8" t="s">
        <v>11</v>
      </c>
      <c r="B8">
        <v>1</v>
      </c>
      <c r="C8">
        <v>1</v>
      </c>
      <c r="D8">
        <v>1</v>
      </c>
      <c r="E8">
        <f>SUMPRODUCT(B2:D2,B8:D8)</f>
        <v>5</v>
      </c>
      <c r="F8" t="s">
        <v>12</v>
      </c>
      <c r="G8">
        <v>5</v>
      </c>
      <c r="K8" t="s">
        <v>6</v>
      </c>
      <c r="L8">
        <v>40000</v>
      </c>
      <c r="M8">
        <v>40000</v>
      </c>
      <c r="N8">
        <v>70000</v>
      </c>
    </row>
    <row r="9" spans="1:16" x14ac:dyDescent="0.25">
      <c r="A9" t="s">
        <v>13</v>
      </c>
      <c r="B9">
        <v>480</v>
      </c>
      <c r="C9">
        <v>150</v>
      </c>
      <c r="D9">
        <v>280</v>
      </c>
      <c r="E9">
        <f>SUMPRODUCT(B2:D2,B9:D9)</f>
        <v>1400</v>
      </c>
      <c r="F9" t="s">
        <v>12</v>
      </c>
      <c r="G9">
        <v>8000</v>
      </c>
      <c r="K9" t="s">
        <v>7</v>
      </c>
      <c r="O9">
        <f>SUMPRODUCT(B2:D2,B4:D4)</f>
        <v>350000</v>
      </c>
      <c r="P9" t="s">
        <v>17</v>
      </c>
    </row>
    <row r="10" spans="1:16" x14ac:dyDescent="0.25">
      <c r="A10" t="s">
        <v>14</v>
      </c>
      <c r="B10">
        <v>1</v>
      </c>
      <c r="C10">
        <v>0</v>
      </c>
      <c r="D10">
        <v>0</v>
      </c>
      <c r="E10">
        <f>SUMPRODUCT(B2:D2,B10:D10)</f>
        <v>0</v>
      </c>
      <c r="F10" t="s">
        <v>15</v>
      </c>
      <c r="G10">
        <v>0.75</v>
      </c>
    </row>
    <row r="11" spans="1:16" x14ac:dyDescent="0.25">
      <c r="A11" t="s">
        <v>16</v>
      </c>
      <c r="B11">
        <v>0</v>
      </c>
      <c r="C11">
        <v>1</v>
      </c>
      <c r="D11">
        <v>0</v>
      </c>
      <c r="E11">
        <f>SUMPRODUCT(B2:D2,B11:D11)</f>
        <v>0</v>
      </c>
      <c r="F11" t="s">
        <v>15</v>
      </c>
      <c r="G11">
        <v>0.8</v>
      </c>
      <c r="K11" t="s">
        <v>4</v>
      </c>
      <c r="O11" t="s">
        <v>9</v>
      </c>
    </row>
    <row r="12" spans="1:16" x14ac:dyDescent="0.25">
      <c r="K12" t="s">
        <v>11</v>
      </c>
      <c r="L12">
        <v>1</v>
      </c>
      <c r="M12">
        <v>1</v>
      </c>
      <c r="N12">
        <v>1</v>
      </c>
      <c r="O12">
        <f>SUMPRODUCT(B2:D2,B8:D8)</f>
        <v>5</v>
      </c>
      <c r="P12" t="s">
        <v>12</v>
      </c>
    </row>
    <row r="13" spans="1:16" x14ac:dyDescent="0.25">
      <c r="K13" t="s">
        <v>13</v>
      </c>
      <c r="L13">
        <v>480</v>
      </c>
      <c r="M13">
        <v>150</v>
      </c>
      <c r="N13">
        <v>280</v>
      </c>
      <c r="O13">
        <f>SUMPRODUCT(B2:D2,B9:D9)</f>
        <v>1400</v>
      </c>
      <c r="P13" t="s">
        <v>12</v>
      </c>
    </row>
    <row r="14" spans="1:16" x14ac:dyDescent="0.25">
      <c r="K14" t="s">
        <v>14</v>
      </c>
      <c r="L14">
        <v>1</v>
      </c>
      <c r="M14">
        <v>0</v>
      </c>
      <c r="N14">
        <v>0</v>
      </c>
      <c r="O14">
        <f>SUMPRODUCT(B2:D2,B10:D10)</f>
        <v>0</v>
      </c>
      <c r="P14" t="s">
        <v>15</v>
      </c>
    </row>
    <row r="15" spans="1:16" x14ac:dyDescent="0.25">
      <c r="K15" t="s">
        <v>16</v>
      </c>
      <c r="L15">
        <v>0</v>
      </c>
      <c r="M15">
        <v>1</v>
      </c>
      <c r="N15">
        <v>0</v>
      </c>
      <c r="O15">
        <f>SUMPRODUCT(B2:D2,B11:D11)</f>
        <v>0</v>
      </c>
      <c r="P1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C081265FA2544E92CE39F5CCC2FE26" ma:contentTypeVersion="15" ma:contentTypeDescription="Create a new document." ma:contentTypeScope="" ma:versionID="525c35a05f6fac7f2fa0976f8f88bf8b">
  <xsd:schema xmlns:xsd="http://www.w3.org/2001/XMLSchema" xmlns:xs="http://www.w3.org/2001/XMLSchema" xmlns:p="http://schemas.microsoft.com/office/2006/metadata/properties" xmlns:ns3="c07520c7-1c22-4b0f-8340-1e92b8ae9bf1" xmlns:ns4="ecc61ddb-6c6e-4e5b-9f6b-7dbd99fbfaa5" targetNamespace="http://schemas.microsoft.com/office/2006/metadata/properties" ma:root="true" ma:fieldsID="182671b63e6a1bbb961d10ea2f1dac20" ns3:_="" ns4:_="">
    <xsd:import namespace="c07520c7-1c22-4b0f-8340-1e92b8ae9bf1"/>
    <xsd:import namespace="ecc61ddb-6c6e-4e5b-9f6b-7dbd99fbfaa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520c7-1c22-4b0f-8340-1e92b8ae9bf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61ddb-6c6e-4e5b-9f6b-7dbd99fbfa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7520c7-1c22-4b0f-8340-1e92b8ae9bf1" xsi:nil="true"/>
  </documentManagement>
</p:properties>
</file>

<file path=customXml/itemProps1.xml><?xml version="1.0" encoding="utf-8"?>
<ds:datastoreItem xmlns:ds="http://schemas.openxmlformats.org/officeDocument/2006/customXml" ds:itemID="{A30EB69B-ADA5-4688-8FBA-4DD4CCBE4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520c7-1c22-4b0f-8340-1e92b8ae9bf1"/>
    <ds:schemaRef ds:uri="ecc61ddb-6c6e-4e5b-9f6b-7dbd99fbfa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E1C136-9EAA-4EB1-BD3B-8A92BC64E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4165BF-A1A5-4511-A276-B3274CFFAE75}">
  <ds:schemaRefs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cc61ddb-6c6e-4e5b-9f6b-7dbd99fbfaa5"/>
    <ds:schemaRef ds:uri="c07520c7-1c22-4b0f-8340-1e92b8ae9bf1"/>
  </ds:schemaRefs>
</ds:datastoreItem>
</file>

<file path=docMetadata/LabelInfo.xml><?xml version="1.0" encoding="utf-8"?>
<clbl:labelList xmlns:clbl="http://schemas.microsoft.com/office/2020/mipLabelMetadata">
  <clbl:label id="{04e8677e-c989-47b9-8619-d83d5a5f6c67}" enabled="0" method="" siteId="{04e8677e-c989-47b9-8619-d83d5a5f6c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Lauritzen</dc:creator>
  <cp:lastModifiedBy>Ethan Lauritzen</cp:lastModifiedBy>
  <dcterms:created xsi:type="dcterms:W3CDTF">2025-11-15T11:54:40Z</dcterms:created>
  <dcterms:modified xsi:type="dcterms:W3CDTF">2025-11-15T12:03:23Z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0x01010076C081265FA2544E92CE39F5CCC2FE26</vt:lpwstr>
  </property>
</Properties>
</file>